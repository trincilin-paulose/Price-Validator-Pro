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ice-validator\backend\data\"/>
    </mc:Choice>
  </mc:AlternateContent>
  <xr:revisionPtr revIDLastSave="0" documentId="13_ncr:1_{77148142-A0FE-4105-A168-C21D50E81D2B}" xr6:coauthVersionLast="47" xr6:coauthVersionMax="47" xr10:uidLastSave="{00000000-0000-0000-0000-000000000000}"/>
  <bookViews>
    <workbookView xWindow="30" yWindow="750" windowWidth="25170" windowHeight="15000" xr2:uid="{755AB5A7-2F21-43F4-B5E9-D09AD74D3EA1}"/>
  </bookViews>
  <sheets>
    <sheet name="Pricing_Moni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I8" i="1"/>
  <c r="I10" i="1"/>
  <c r="I2" i="1"/>
  <c r="H3" i="1"/>
  <c r="I3" i="1" s="1"/>
  <c r="H4" i="1"/>
  <c r="I4" i="1" s="1"/>
  <c r="H5" i="1"/>
  <c r="I5" i="1" s="1"/>
  <c r="H6" i="1"/>
  <c r="I6" i="1" s="1"/>
  <c r="H7" i="1"/>
  <c r="H8" i="1"/>
  <c r="H9" i="1"/>
  <c r="I9" i="1" s="1"/>
  <c r="H10" i="1"/>
  <c r="H2" i="1"/>
</calcChain>
</file>

<file path=xl/sharedStrings.xml><?xml version="1.0" encoding="utf-8"?>
<sst xmlns="http://schemas.openxmlformats.org/spreadsheetml/2006/main" count="74" uniqueCount="40">
  <si>
    <t>SKU</t>
  </si>
  <si>
    <t>Category</t>
  </si>
  <si>
    <t>Sub-category</t>
  </si>
  <si>
    <t>Brand</t>
  </si>
  <si>
    <t>Product Name</t>
  </si>
  <si>
    <t>MRP</t>
  </si>
  <si>
    <t>Discount</t>
  </si>
  <si>
    <t>Discount Amount</t>
  </si>
  <si>
    <t>Net Price</t>
  </si>
  <si>
    <t>Stock</t>
  </si>
  <si>
    <t>Rating</t>
  </si>
  <si>
    <t>SMG-S23-256</t>
  </si>
  <si>
    <t>Mobiles</t>
  </si>
  <si>
    <t>Samsung</t>
  </si>
  <si>
    <t>Samsung Galaxy S23 5G</t>
  </si>
  <si>
    <t>y</t>
  </si>
  <si>
    <t>p</t>
  </si>
  <si>
    <t>SMG-S24-256</t>
  </si>
  <si>
    <t>Samsung Galaxy S24 5G</t>
  </si>
  <si>
    <t>ONE-12-512</t>
  </si>
  <si>
    <t>OnePlus</t>
  </si>
  <si>
    <t>OnePlus 12 5G</t>
  </si>
  <si>
    <t>n</t>
  </si>
  <si>
    <t>ONE-11R-256</t>
  </si>
  <si>
    <t>OnePlus 11R 5G</t>
  </si>
  <si>
    <t>c</t>
  </si>
  <si>
    <t>OPP-F25-128</t>
  </si>
  <si>
    <t>Oppo</t>
  </si>
  <si>
    <t>Oppo F25 Pro 5G</t>
  </si>
  <si>
    <t>XI-13P-256</t>
  </si>
  <si>
    <t>Xiomi</t>
  </si>
  <si>
    <t>Xiaomi 13 Pro</t>
  </si>
  <si>
    <t>XI-RN13-128</t>
  </si>
  <si>
    <t>Redmi Note 13 Pro</t>
  </si>
  <si>
    <t>REAL-12P-256</t>
  </si>
  <si>
    <t>Realme</t>
  </si>
  <si>
    <t>Realme 12 Pro Plus</t>
  </si>
  <si>
    <t>APL-IP14-128</t>
  </si>
  <si>
    <t>iphone</t>
  </si>
  <si>
    <t>Apple iPhone 14 128GB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</si>
</sst>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DDD34-31B4-4307-9F8E-4B05DB416D54}">
  <dimension ref="A1:M10"/>
  <sheetViews>
    <sheetView tabSelected="1" workbookViewId="0">
      <selection activeCell="H6" sqref="H6"/>
    </sheetView>
  </sheetViews>
  <sheetFormatPr defaultRowHeight="15" x14ac:dyDescent="0.25"/>
  <cols>
    <col min="1" max="1" width="12.7109375" bestFit="1" customWidth="1"/>
    <col min="5" max="5" width="22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3" x14ac:dyDescent="0.25">
      <c r="A2" t="s">
        <v>11</v>
      </c>
      <c r="B2" t="s">
        <v>12</v>
      </c>
      <c r="C2" t="s">
        <v>13</v>
      </c>
      <c r="D2" t="s">
        <v>13</v>
      </c>
      <c r="E2" t="s">
        <v>14</v>
      </c>
      <c r="F2">
        <v>45999</v>
      </c>
      <c r="G2">
        <v>10</v>
      </c>
      <c r="H2">
        <f>F2*(G2/100)</f>
        <v>4599.9000000000005</v>
      </c>
      <c r="I2">
        <f>F2-H2</f>
        <v>41399.1</v>
      </c>
      <c r="J2">
        <v>20</v>
      </c>
      <c r="K2">
        <v>4.0999999999999996</v>
      </c>
      <c r="L2" t="s">
        <v>15</v>
      </c>
      <c r="M2" t="s">
        <v>16</v>
      </c>
    </row>
    <row r="3" spans="1:13" x14ac:dyDescent="0.25">
      <c r="A3" t="s">
        <v>17</v>
      </c>
      <c r="B3" t="s">
        <v>12</v>
      </c>
      <c r="C3" t="s">
        <v>13</v>
      </c>
      <c r="D3" t="s">
        <v>13</v>
      </c>
      <c r="E3" t="s">
        <v>18</v>
      </c>
      <c r="F3">
        <v>78500</v>
      </c>
      <c r="G3">
        <v>2</v>
      </c>
      <c r="H3">
        <f t="shared" ref="H3:H10" si="0">F3*(G3/100)</f>
        <v>1570</v>
      </c>
      <c r="I3">
        <f t="shared" ref="I3:I10" si="1">F3-H3</f>
        <v>76930</v>
      </c>
      <c r="J3">
        <v>40</v>
      </c>
      <c r="K3">
        <v>4.5999999999999996</v>
      </c>
      <c r="L3" t="s">
        <v>15</v>
      </c>
      <c r="M3" t="s">
        <v>16</v>
      </c>
    </row>
    <row r="4" spans="1:13" x14ac:dyDescent="0.25">
      <c r="A4" t="s">
        <v>19</v>
      </c>
      <c r="B4" t="s">
        <v>12</v>
      </c>
      <c r="C4" t="s">
        <v>20</v>
      </c>
      <c r="D4" t="s">
        <v>20</v>
      </c>
      <c r="E4" t="s">
        <v>21</v>
      </c>
      <c r="F4">
        <v>79999</v>
      </c>
      <c r="G4">
        <v>20</v>
      </c>
      <c r="H4">
        <f t="shared" si="0"/>
        <v>15999.800000000001</v>
      </c>
      <c r="I4">
        <f t="shared" si="1"/>
        <v>63999.199999999997</v>
      </c>
      <c r="J4">
        <v>55</v>
      </c>
      <c r="K4">
        <v>4.42</v>
      </c>
      <c r="L4" t="s">
        <v>22</v>
      </c>
      <c r="M4" t="s">
        <v>16</v>
      </c>
    </row>
    <row r="5" spans="1:13" x14ac:dyDescent="0.25">
      <c r="A5" t="s">
        <v>23</v>
      </c>
      <c r="B5" t="s">
        <v>12</v>
      </c>
      <c r="C5" t="s">
        <v>20</v>
      </c>
      <c r="D5" t="s">
        <v>20</v>
      </c>
      <c r="E5" t="s">
        <v>24</v>
      </c>
      <c r="F5">
        <v>68999</v>
      </c>
      <c r="G5">
        <v>0</v>
      </c>
      <c r="H5">
        <f t="shared" si="0"/>
        <v>0</v>
      </c>
      <c r="I5">
        <f t="shared" si="1"/>
        <v>68999</v>
      </c>
      <c r="J5">
        <v>30</v>
      </c>
      <c r="K5">
        <v>4.4000000000000004</v>
      </c>
      <c r="L5" t="s">
        <v>15</v>
      </c>
      <c r="M5" t="s">
        <v>25</v>
      </c>
    </row>
    <row r="6" spans="1:13" x14ac:dyDescent="0.25">
      <c r="A6" t="s">
        <v>26</v>
      </c>
      <c r="B6" t="s">
        <v>12</v>
      </c>
      <c r="C6" t="s">
        <v>27</v>
      </c>
      <c r="D6" t="s">
        <v>27</v>
      </c>
      <c r="E6" t="s">
        <v>28</v>
      </c>
      <c r="F6">
        <v>65500</v>
      </c>
      <c r="G6">
        <v>30</v>
      </c>
      <c r="H6">
        <f t="shared" si="0"/>
        <v>19650</v>
      </c>
      <c r="I6">
        <f t="shared" si="1"/>
        <v>45850</v>
      </c>
      <c r="J6">
        <v>88</v>
      </c>
      <c r="K6">
        <v>4.5199999999999996</v>
      </c>
      <c r="L6" t="s">
        <v>22</v>
      </c>
      <c r="M6" t="s">
        <v>25</v>
      </c>
    </row>
    <row r="7" spans="1:13" x14ac:dyDescent="0.25">
      <c r="A7" t="s">
        <v>29</v>
      </c>
      <c r="B7" t="s">
        <v>12</v>
      </c>
      <c r="C7" t="s">
        <v>30</v>
      </c>
      <c r="D7" t="s">
        <v>30</v>
      </c>
      <c r="E7" t="s">
        <v>31</v>
      </c>
      <c r="F7">
        <v>45500</v>
      </c>
      <c r="G7">
        <v>10</v>
      </c>
      <c r="H7">
        <f t="shared" si="0"/>
        <v>4550</v>
      </c>
      <c r="I7">
        <f t="shared" si="1"/>
        <v>40950</v>
      </c>
      <c r="J7">
        <v>73</v>
      </c>
      <c r="K7">
        <v>4.4400000000000004</v>
      </c>
      <c r="L7" t="s">
        <v>15</v>
      </c>
      <c r="M7" t="s">
        <v>16</v>
      </c>
    </row>
    <row r="8" spans="1:13" x14ac:dyDescent="0.25">
      <c r="A8" t="s">
        <v>32</v>
      </c>
      <c r="B8" t="s">
        <v>12</v>
      </c>
      <c r="C8" t="s">
        <v>30</v>
      </c>
      <c r="D8" t="s">
        <v>30</v>
      </c>
      <c r="E8" t="s">
        <v>33</v>
      </c>
      <c r="F8">
        <v>35450</v>
      </c>
      <c r="G8">
        <v>10</v>
      </c>
      <c r="H8">
        <f t="shared" si="0"/>
        <v>3545</v>
      </c>
      <c r="I8">
        <f t="shared" si="1"/>
        <v>31905</v>
      </c>
      <c r="J8">
        <v>23</v>
      </c>
      <c r="K8">
        <v>4.46</v>
      </c>
      <c r="L8" t="s">
        <v>22</v>
      </c>
      <c r="M8" t="s">
        <v>25</v>
      </c>
    </row>
    <row r="9" spans="1:13" x14ac:dyDescent="0.25">
      <c r="A9" t="s">
        <v>34</v>
      </c>
      <c r="B9" t="s">
        <v>12</v>
      </c>
      <c r="C9" t="s">
        <v>35</v>
      </c>
      <c r="D9" t="s">
        <v>35</v>
      </c>
      <c r="E9" t="s">
        <v>36</v>
      </c>
      <c r="F9">
        <v>29500</v>
      </c>
      <c r="G9">
        <v>8</v>
      </c>
      <c r="H9">
        <f t="shared" si="0"/>
        <v>2360</v>
      </c>
      <c r="I9">
        <f t="shared" si="1"/>
        <v>27140</v>
      </c>
      <c r="J9">
        <v>90</v>
      </c>
      <c r="K9">
        <v>4.54</v>
      </c>
      <c r="L9" t="s">
        <v>15</v>
      </c>
      <c r="M9" t="s">
        <v>25</v>
      </c>
    </row>
    <row r="10" spans="1:13" x14ac:dyDescent="0.25">
      <c r="A10" t="s">
        <v>37</v>
      </c>
      <c r="B10" t="s">
        <v>12</v>
      </c>
      <c r="C10" t="s">
        <v>38</v>
      </c>
      <c r="D10" t="s">
        <v>38</v>
      </c>
      <c r="E10" t="s">
        <v>39</v>
      </c>
      <c r="F10">
        <v>85999</v>
      </c>
      <c r="G10">
        <v>20</v>
      </c>
      <c r="H10">
        <f t="shared" si="0"/>
        <v>17199.8</v>
      </c>
      <c r="I10">
        <f t="shared" si="1"/>
        <v>68799.199999999997</v>
      </c>
      <c r="J10">
        <v>50</v>
      </c>
      <c r="K10">
        <v>4.5</v>
      </c>
      <c r="L10" t="s">
        <v>22</v>
      </c>
      <c r="M10" t="s">
        <v>16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11efef2-56e9-4a57-b83d-0b8cd251f5f4}" enabled="1" method="Privileged" siteId="{139f0669-cebb-42df-b9e3-415009ddb69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Pricing_Monitor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Rajagopalu Manyam</dc:creator>
  <cp:lastModifiedBy>Rajagopalu Manyam</cp:lastModifiedBy>
  <dcterms:created xsi:type="dcterms:W3CDTF">2026-01-27T14:27:28Z</dcterms:created>
  <dcterms:modified xsi:type="dcterms:W3CDTF">2026-01-28T07:02:54Z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11efef2-56e9-4a57-b83d-0b8cd251f5f4_Enabled">
    <vt:lpwstr>true</vt:lpwstr>
  </property>
  <property fmtid="{D5CDD505-2E9C-101B-9397-08002B2CF9AE}" pid="3" name="MSIP_Label_611efef2-56e9-4a57-b83d-0b8cd251f5f4_SetDate">
    <vt:lpwstr>2026-01-27T14:27:28Z</vt:lpwstr>
  </property>
  <property fmtid="{D5CDD505-2E9C-101B-9397-08002B2CF9AE}" pid="4" name="MSIP_Label_611efef2-56e9-4a57-b83d-0b8cd251f5f4_Method">
    <vt:lpwstr>Standard</vt:lpwstr>
  </property>
  <property fmtid="{D5CDD505-2E9C-101B-9397-08002B2CF9AE}" pid="5" name="MSIP_Label_611efef2-56e9-4a57-b83d-0b8cd251f5f4_Name">
    <vt:lpwstr>Public</vt:lpwstr>
  </property>
  <property fmtid="{D5CDD505-2E9C-101B-9397-08002B2CF9AE}" pid="6" name="MSIP_Label_611efef2-56e9-4a57-b83d-0b8cd251f5f4_SiteId">
    <vt:lpwstr>139f0669-cebb-42df-b9e3-415009ddb690</vt:lpwstr>
  </property>
  <property fmtid="{D5CDD505-2E9C-101B-9397-08002B2CF9AE}" pid="7" name="MSIP_Label_611efef2-56e9-4a57-b83d-0b8cd251f5f4_ActionId">
    <vt:lpwstr>ee780b77-df9e-4ac6-9100-d9aa26e62904</vt:lpwstr>
  </property>
  <property fmtid="{D5CDD505-2E9C-101B-9397-08002B2CF9AE}" pid="8" name="MSIP_Label_611efef2-56e9-4a57-b83d-0b8cd251f5f4_ContentBits">
    <vt:lpwstr>0</vt:lpwstr>
  </property>
</Properties>
</file>